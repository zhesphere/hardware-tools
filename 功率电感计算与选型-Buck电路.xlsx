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1E3C53-AE8D-4286-ACBB-B2641E109359}" xr6:coauthVersionLast="47" xr6:coauthVersionMax="47" xr10:uidLastSave="{00000000-0000-0000-0000-000000000000}"/>
  <bookViews>
    <workbookView xWindow="-38520" yWindow="-246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2" i="1"/>
  <c r="C13" i="1" s="1"/>
  <c r="C11" i="1" l="1"/>
</calcChain>
</file>

<file path=xl/sharedStrings.xml><?xml version="1.0" encoding="utf-8"?>
<sst xmlns="http://schemas.openxmlformats.org/spreadsheetml/2006/main" count="52" uniqueCount="45">
  <si>
    <r>
      <rPr>
        <sz val="16"/>
        <rFont val="Arial"/>
        <family val="2"/>
      </rPr>
      <t>Vin(Max)</t>
    </r>
  </si>
  <si>
    <r>
      <rPr>
        <sz val="16"/>
        <rFont val="Arial"/>
        <family val="2"/>
      </rPr>
      <t>V</t>
    </r>
  </si>
  <si>
    <r>
      <rPr>
        <sz val="16"/>
        <rFont val="Arial"/>
        <family val="2"/>
      </rPr>
      <t>Vout</t>
    </r>
  </si>
  <si>
    <r>
      <rPr>
        <sz val="16"/>
        <rFont val="Arial"/>
        <family val="2"/>
      </rPr>
      <t>lo(Max)</t>
    </r>
  </si>
  <si>
    <r>
      <rPr>
        <sz val="16"/>
        <rFont val="Arial"/>
        <family val="2"/>
      </rPr>
      <t>A</t>
    </r>
  </si>
  <si>
    <r>
      <rPr>
        <sz val="16"/>
        <rFont val="Arial"/>
        <family val="2"/>
      </rPr>
      <t>Iripple</t>
    </r>
  </si>
  <si>
    <r>
      <rPr>
        <sz val="16"/>
        <rFont val="Arial"/>
        <family val="2"/>
      </rPr>
      <t>uH</t>
    </r>
  </si>
  <si>
    <r>
      <rPr>
        <sz val="16"/>
        <rFont val="Arial"/>
        <family val="2"/>
      </rPr>
      <t>lpeak</t>
    </r>
  </si>
  <si>
    <r>
      <rPr>
        <sz val="15"/>
        <rFont val="Arial"/>
        <family val="2"/>
      </rPr>
      <t>uH</t>
    </r>
  </si>
  <si>
    <r>
      <rPr>
        <sz val="15"/>
        <rFont val="Arial"/>
        <family val="2"/>
      </rPr>
      <t>A</t>
    </r>
  </si>
  <si>
    <r>
      <rPr>
        <sz val="15"/>
        <rFont val="Arial"/>
        <family val="2"/>
      </rPr>
      <t>mΩ</t>
    </r>
  </si>
  <si>
    <r>
      <rPr>
        <sz val="15"/>
        <rFont val="SimSun"/>
        <charset val="134"/>
      </rPr>
      <t>实际</t>
    </r>
    <r>
      <rPr>
        <sz val="15"/>
        <rFont val="Arial"/>
        <family val="2"/>
      </rPr>
      <t>Iripple</t>
    </r>
  </si>
  <si>
    <t>参数</t>
    <phoneticPr fontId="3" type="noConversion"/>
  </si>
  <si>
    <t>数值</t>
    <phoneticPr fontId="3" type="noConversion"/>
  </si>
  <si>
    <t>单位</t>
    <phoneticPr fontId="3" type="noConversion"/>
  </si>
  <si>
    <t>KHz</t>
    <phoneticPr fontId="3" type="noConversion"/>
  </si>
  <si>
    <t>参数说明</t>
    <phoneticPr fontId="3" type="noConversion"/>
  </si>
  <si>
    <r>
      <t>f</t>
    </r>
    <r>
      <rPr>
        <vertAlign val="subscript"/>
        <sz val="16"/>
        <rFont val="Arial"/>
        <family val="2"/>
      </rPr>
      <t>sw</t>
    </r>
    <phoneticPr fontId="3" type="noConversion"/>
  </si>
  <si>
    <t>Lmin</t>
    <phoneticPr fontId="3" type="noConversion"/>
  </si>
  <si>
    <r>
      <rPr>
        <sz val="16"/>
        <rFont val="宋体"/>
        <family val="3"/>
        <charset val="134"/>
      </rPr>
      <t>工作频率</t>
    </r>
  </si>
  <si>
    <r>
      <rPr>
        <sz val="16"/>
        <rFont val="宋体"/>
        <family val="3"/>
        <charset val="134"/>
      </rPr>
      <t>电感量</t>
    </r>
    <r>
      <rPr>
        <sz val="16"/>
        <color rgb="FF000000"/>
        <rFont val="宋体"/>
        <family val="3"/>
        <charset val="134"/>
      </rPr>
      <t>（最小值）</t>
    </r>
    <phoneticPr fontId="3" type="noConversion"/>
  </si>
  <si>
    <t>需要输入的值</t>
    <phoneticPr fontId="3" type="noConversion"/>
  </si>
  <si>
    <t>计算参考公式：</t>
    <phoneticPr fontId="3" type="noConversion"/>
  </si>
  <si>
    <r>
      <rPr>
        <sz val="16"/>
        <rFont val="Arial"/>
        <family val="2"/>
      </rPr>
      <t>K</t>
    </r>
    <r>
      <rPr>
        <vertAlign val="subscript"/>
        <sz val="16"/>
        <color rgb="FF000000"/>
        <rFont val="Arial"/>
        <family val="2"/>
      </rPr>
      <t>IND</t>
    </r>
    <phoneticPr fontId="3" type="noConversion"/>
  </si>
  <si>
    <t>电感上纹波电流</t>
    <phoneticPr fontId="3" type="noConversion"/>
  </si>
  <si>
    <t>电感上峰值电流</t>
    <phoneticPr fontId="3" type="noConversion"/>
  </si>
  <si>
    <r>
      <rPr>
        <b/>
        <sz val="16"/>
        <color rgb="FFFF0000"/>
        <rFont val="黑体"/>
        <family val="3"/>
        <charset val="134"/>
      </rPr>
      <t>步骤一：</t>
    </r>
    <r>
      <rPr>
        <b/>
        <sz val="16"/>
        <rFont val="黑体"/>
        <family val="3"/>
        <charset val="134"/>
      </rPr>
      <t>电感参数理论计算：</t>
    </r>
    <phoneticPr fontId="3" type="noConversion"/>
  </si>
  <si>
    <r>
      <rPr>
        <sz val="15"/>
        <rFont val="SimSun"/>
        <charset val="134"/>
      </rPr>
      <t>选取电感量</t>
    </r>
    <r>
      <rPr>
        <sz val="15"/>
        <color rgb="FF000000"/>
        <rFont val="Arial"/>
        <family val="2"/>
      </rPr>
      <t>L</t>
    </r>
    <phoneticPr fontId="3" type="noConversion"/>
  </si>
  <si>
    <t>备注</t>
    <phoneticPr fontId="3" type="noConversion"/>
  </si>
  <si>
    <t>A</t>
  </si>
  <si>
    <r>
      <rPr>
        <sz val="17"/>
        <rFont val="SimSun"/>
        <charset val="134"/>
      </rPr>
      <t>计算</t>
    </r>
    <r>
      <rPr>
        <sz val="17"/>
        <color rgb="FF000000"/>
        <rFont val="宋体"/>
        <family val="2"/>
        <charset val="134"/>
      </rPr>
      <t>出的值</t>
    </r>
    <phoneticPr fontId="3" type="noConversion"/>
  </si>
  <si>
    <r>
      <t>依据上面计算出的</t>
    </r>
    <r>
      <rPr>
        <sz val="16"/>
        <color rgb="FF000000"/>
        <rFont val="Arial"/>
        <family val="2"/>
      </rPr>
      <t>Lmin</t>
    </r>
    <r>
      <rPr>
        <sz val="16"/>
        <color rgb="FF000000"/>
        <rFont val="宋体"/>
        <family val="3"/>
        <charset val="134"/>
      </rPr>
      <t>值，选取常用的电感值</t>
    </r>
    <phoneticPr fontId="3" type="noConversion"/>
  </si>
  <si>
    <r>
      <rPr>
        <sz val="15"/>
        <rFont val="SimSun"/>
        <charset val="134"/>
      </rPr>
      <t>参照</t>
    </r>
    <r>
      <rPr>
        <sz val="15"/>
        <rFont val="Arial"/>
        <family val="2"/>
      </rPr>
      <t>DC-DC</t>
    </r>
    <r>
      <rPr>
        <sz val="15"/>
        <rFont val="SimSun"/>
        <charset val="134"/>
      </rPr>
      <t>应用说明</t>
    </r>
    <r>
      <rPr>
        <sz val="16"/>
        <color rgb="FF000000"/>
        <rFont val="宋体"/>
        <family val="3"/>
        <charset val="134"/>
      </rPr>
      <t>，如有特殊要求</t>
    </r>
    <phoneticPr fontId="3" type="noConversion"/>
  </si>
  <si>
    <r>
      <rPr>
        <b/>
        <sz val="16"/>
        <color rgb="FFFF0000"/>
        <rFont val="黑体"/>
        <family val="3"/>
        <charset val="134"/>
      </rPr>
      <t>步骤二：</t>
    </r>
    <r>
      <rPr>
        <b/>
        <sz val="16"/>
        <color rgb="FF000000"/>
        <rFont val="黑体"/>
        <family val="3"/>
        <charset val="134"/>
      </rPr>
      <t>实际电感建议选型参数</t>
    </r>
    <phoneticPr fontId="3" type="noConversion"/>
  </si>
  <si>
    <r>
      <t>电流纹波系数(一般建议取</t>
    </r>
    <r>
      <rPr>
        <sz val="16"/>
        <rFont val="Arial"/>
        <family val="2"/>
      </rPr>
      <t>0.4~0.6</t>
    </r>
    <r>
      <rPr>
        <sz val="16"/>
        <rFont val="宋体"/>
        <family val="3"/>
        <charset val="134"/>
      </rPr>
      <t>，最大不超过</t>
    </r>
    <r>
      <rPr>
        <sz val="16"/>
        <rFont val="Arial"/>
        <family val="2"/>
      </rPr>
      <t>1.0</t>
    </r>
    <r>
      <rPr>
        <sz val="16"/>
        <rFont val="宋体"/>
        <family val="3"/>
        <charset val="134"/>
      </rPr>
      <t>)</t>
    </r>
    <phoneticPr fontId="3" type="noConversion"/>
  </si>
  <si>
    <t>输出平均电流(最大值)</t>
    <phoneticPr fontId="3" type="noConversion"/>
  </si>
  <si>
    <r>
      <rPr>
        <b/>
        <sz val="16"/>
        <color rgb="FFFF0000"/>
        <rFont val="黑体"/>
        <family val="3"/>
        <charset val="134"/>
      </rPr>
      <t>步骤三：</t>
    </r>
    <r>
      <rPr>
        <b/>
        <sz val="16"/>
        <color rgb="FF000000"/>
        <rFont val="黑体"/>
        <family val="3"/>
        <charset val="134"/>
      </rPr>
      <t>依据电感量、有效值/饱和电流从器件优选库或电感产品目录选择合适的电感型号</t>
    </r>
    <phoneticPr fontId="3" type="noConversion"/>
  </si>
  <si>
    <r>
      <rPr>
        <sz val="15"/>
        <rFont val="宋体"/>
        <family val="2"/>
        <charset val="134"/>
      </rPr>
      <t>需求</t>
    </r>
    <r>
      <rPr>
        <sz val="15"/>
        <rFont val="Arial"/>
        <family val="2"/>
      </rPr>
      <t>Ims(min)</t>
    </r>
    <phoneticPr fontId="3" type="noConversion"/>
  </si>
  <si>
    <r>
      <rPr>
        <sz val="15"/>
        <rFont val="宋体"/>
        <family val="2"/>
        <charset val="134"/>
      </rPr>
      <t>需求</t>
    </r>
    <r>
      <rPr>
        <sz val="15"/>
        <rFont val="Arial"/>
        <family val="2"/>
      </rPr>
      <t>Isat(min)</t>
    </r>
    <phoneticPr fontId="3" type="noConversion"/>
  </si>
  <si>
    <r>
      <rPr>
        <sz val="15"/>
        <rFont val="宋体"/>
        <family val="2"/>
        <charset val="134"/>
      </rPr>
      <t>需求</t>
    </r>
    <r>
      <rPr>
        <sz val="15"/>
        <rFont val="Arial"/>
        <family val="2"/>
      </rPr>
      <t>DCR(Max)</t>
    </r>
    <phoneticPr fontId="3" type="noConversion"/>
  </si>
  <si>
    <t>说明</t>
    <phoneticPr fontId="3" type="noConversion"/>
  </si>
  <si>
    <r>
      <t>电感温升电流/有效值电流（至少按照</t>
    </r>
    <r>
      <rPr>
        <sz val="15"/>
        <rFont val="Arial"/>
        <family val="2"/>
      </rPr>
      <t>70%</t>
    </r>
    <r>
      <rPr>
        <sz val="15"/>
        <rFont val="宋体"/>
        <family val="3"/>
        <charset val="134"/>
      </rPr>
      <t>降额）</t>
    </r>
    <phoneticPr fontId="3" type="noConversion"/>
  </si>
  <si>
    <r>
      <rPr>
        <sz val="15"/>
        <rFont val="SimSun"/>
        <charset val="134"/>
      </rPr>
      <t>电感饱和电流（至少按照</t>
    </r>
    <r>
      <rPr>
        <sz val="15"/>
        <rFont val="Arial"/>
        <family val="2"/>
      </rPr>
      <t>70%</t>
    </r>
    <r>
      <rPr>
        <sz val="15"/>
        <rFont val="SimSun"/>
        <charset val="134"/>
      </rPr>
      <t>降额）</t>
    </r>
    <phoneticPr fontId="3" type="noConversion"/>
  </si>
  <si>
    <t>输入电压(最大值)</t>
    <phoneticPr fontId="3" type="noConversion"/>
  </si>
  <si>
    <t>输出电压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</si>
</sst>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_ "/>
    <numFmt numFmtId="178" formatCode="0.00_ "/>
  </numFmts>
  <fonts count="27">
    <font>
      <sz val="11"/>
      <color rgb="FF000000"/>
      <name val="Arial"/>
      <charset val="204"/>
    </font>
    <font>
      <sz val="15"/>
      <name val="SimSun"/>
      <charset val="134"/>
    </font>
    <font>
      <sz val="17"/>
      <name val="SimSun"/>
      <charset val="134"/>
    </font>
    <font>
      <sz val="9"/>
      <name val="宋体"/>
      <family val="3"/>
      <charset val="134"/>
    </font>
    <font>
      <sz val="16"/>
      <color rgb="FF000000"/>
      <name val="Arial"/>
      <family val="2"/>
    </font>
    <font>
      <sz val="16"/>
      <name val="Arial"/>
      <family val="2"/>
    </font>
    <font>
      <sz val="11"/>
      <color rgb="FF000000"/>
      <name val="Arial"/>
      <family val="2"/>
    </font>
    <font>
      <sz val="15"/>
      <color rgb="FF000000"/>
      <name val="Arial"/>
      <family val="2"/>
    </font>
    <font>
      <sz val="15"/>
      <name val="Arial"/>
      <family val="2"/>
    </font>
    <font>
      <sz val="17"/>
      <color rgb="FF000000"/>
      <name val="Arial"/>
      <family val="2"/>
    </font>
    <font>
      <sz val="16"/>
      <name val="宋体"/>
      <family val="3"/>
      <charset val="134"/>
    </font>
    <font>
      <sz val="16"/>
      <color rgb="FF000000"/>
      <name val="宋体"/>
      <family val="3"/>
      <charset val="134"/>
    </font>
    <font>
      <vertAlign val="subscript"/>
      <sz val="16"/>
      <name val="Arial"/>
      <family val="2"/>
    </font>
    <font>
      <sz val="16"/>
      <color rgb="FFFF0000"/>
      <name val="Arial"/>
      <family val="2"/>
    </font>
    <font>
      <sz val="15"/>
      <color rgb="FFFF0000"/>
      <name val="Arial"/>
      <family val="2"/>
    </font>
    <font>
      <vertAlign val="subscript"/>
      <sz val="16"/>
      <color rgb="FF000000"/>
      <name val="Arial"/>
      <family val="2"/>
    </font>
    <font>
      <b/>
      <sz val="16"/>
      <name val="黑体"/>
      <family val="3"/>
      <charset val="134"/>
    </font>
    <font>
      <b/>
      <sz val="16"/>
      <color rgb="FF000000"/>
      <name val="黑体"/>
      <family val="3"/>
      <charset val="134"/>
    </font>
    <font>
      <b/>
      <sz val="16"/>
      <color rgb="FFFF0000"/>
      <name val="黑体"/>
      <family val="3"/>
      <charset val="134"/>
    </font>
    <font>
      <sz val="15"/>
      <color rgb="FF000000"/>
      <name val="Arial"/>
      <family val="2"/>
      <charset val="134"/>
    </font>
    <font>
      <sz val="17"/>
      <color rgb="FF000000"/>
      <name val="宋体"/>
      <family val="2"/>
      <charset val="134"/>
    </font>
    <font>
      <sz val="17"/>
      <color rgb="FF000000"/>
      <name val="Arial"/>
      <family val="2"/>
      <charset val="134"/>
    </font>
    <font>
      <sz val="15"/>
      <name val="宋体"/>
      <family val="3"/>
      <charset val="134"/>
    </font>
    <font>
      <sz val="16"/>
      <color rgb="FF000000"/>
      <name val="微软雅黑"/>
      <family val="2"/>
      <charset val="134"/>
    </font>
    <font>
      <sz val="15"/>
      <name val="宋体"/>
      <family val="2"/>
      <charset val="134"/>
    </font>
    <font>
      <sz val="15"/>
      <name val="Arial"/>
      <family val="2"/>
      <charset val="134"/>
    </font>
    <font>
      <sz val="18"/>
      <color rgb="FF000000"/>
      <name val="黑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76" fontId="7" fillId="3" borderId="1" xfId="0" applyNumberFormat="1" applyFont="1" applyFill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176" fontId="4" fillId="3" borderId="1" xfId="0" applyNumberFormat="1" applyFont="1" applyFill="1" applyBorder="1" applyAlignment="1">
      <alignment horizontal="right" vertical="top" wrapText="1"/>
    </xf>
    <xf numFmtId="177" fontId="4" fillId="3" borderId="1" xfId="0" applyNumberFormat="1" applyFont="1" applyFill="1" applyBorder="1" applyAlignment="1">
      <alignment horizontal="right" vertical="top" wrapText="1"/>
    </xf>
    <xf numFmtId="176" fontId="4" fillId="3" borderId="1" xfId="0" applyNumberFormat="1" applyFont="1" applyFill="1" applyBorder="1" applyAlignment="1">
      <alignment horizontal="right" vertical="center" wrapText="1"/>
    </xf>
    <xf numFmtId="177" fontId="13" fillId="2" borderId="1" xfId="0" applyNumberFormat="1" applyFont="1" applyFill="1" applyBorder="1" applyAlignment="1">
      <alignment horizontal="right" vertical="top" wrapText="1"/>
    </xf>
    <xf numFmtId="178" fontId="4" fillId="2" borderId="1" xfId="0" applyNumberFormat="1" applyFont="1" applyFill="1" applyBorder="1" applyAlignment="1">
      <alignment horizontal="right" vertical="top" wrapText="1"/>
    </xf>
    <xf numFmtId="178" fontId="7" fillId="2" borderId="1" xfId="0" applyNumberFormat="1" applyFont="1" applyFill="1" applyBorder="1" applyAlignment="1">
      <alignment horizontal="right" vertical="top" wrapText="1"/>
    </xf>
    <xf numFmtId="178" fontId="14" fillId="2" borderId="1" xfId="0" applyNumberFormat="1" applyFont="1" applyFill="1" applyBorder="1" applyAlignment="1">
      <alignment horizontal="right" vertical="top" wrapText="1"/>
    </xf>
    <xf numFmtId="178" fontId="7" fillId="0" borderId="0" xfId="0" applyNumberFormat="1" applyFont="1" applyAlignment="1">
      <alignment horizontal="right" vertical="top" wrapText="1"/>
    </xf>
    <xf numFmtId="0" fontId="2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top" wrapText="1"/>
    </xf>
    <xf numFmtId="177" fontId="4" fillId="3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top" wrapText="1"/>
    </xf>
    <xf numFmtId="178" fontId="8" fillId="2" borderId="1" xfId="0" applyNumberFormat="1" applyFont="1" applyFill="1" applyBorder="1" applyAlignment="1">
      <alignment horizontal="right" vertical="top" wrapText="1"/>
    </xf>
    <xf numFmtId="176" fontId="14" fillId="3" borderId="1" xfId="0" applyNumberFormat="1" applyFont="1" applyFill="1" applyBorder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178" fontId="4" fillId="5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center" wrapText="1"/>
    </xf>
    <xf numFmtId="178" fontId="4" fillId="2" borderId="10" xfId="0" applyNumberFormat="1" applyFont="1" applyFill="1" applyBorder="1" applyAlignment="1">
      <alignment horizontal="right" vertical="top" wrapText="1"/>
    </xf>
    <xf numFmtId="0" fontId="4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23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25" fillId="0" borderId="7" xfId="0" applyFont="1" applyBorder="1" applyAlignment="1">
      <alignment horizontal="left" vertical="top" wrapText="1"/>
    </xf>
    <xf numFmtId="0" fontId="22" fillId="0" borderId="8" xfId="0" applyFont="1" applyBorder="1" applyAlignment="1">
      <alignment horizontal="left" vertical="center" wrapText="1"/>
    </xf>
    <xf numFmtId="0" fontId="25" fillId="0" borderId="7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18143</xdr:colOff>
      <xdr:row>4</xdr:row>
      <xdr:rowOff>155382</xdr:rowOff>
    </xdr:from>
    <xdr:to>
      <xdr:col>10</xdr:col>
      <xdr:colOff>674743</xdr:colOff>
      <xdr:row>18</xdr:row>
      <xdr:rowOff>87539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3B84BF2-CB45-E490-CA11-107967A08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0" y="1253025"/>
          <a:ext cx="4318282" cy="3817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"/>
  <sheetViews>
    <sheetView tabSelected="1" zoomScale="130" zoomScaleNormal="130" workbookViewId="0">
      <selection activeCell="F22" sqref="F22"/>
    </sheetView>
  </sheetViews>
  <sheetFormatPr defaultColWidth="9" defaultRowHeight="14"/>
  <cols>
    <col min="1" max="1" width="4.08203125" customWidth="1"/>
    <col min="2" max="2" width="19.1640625" bestFit="1" customWidth="1"/>
    <col min="3" max="3" width="13.4140625" customWidth="1"/>
    <col min="4" max="4" width="8.5" customWidth="1"/>
    <col min="5" max="5" width="68.58203125" customWidth="1"/>
    <col min="6" max="6" width="5.4140625" customWidth="1"/>
    <col min="7" max="7" width="21" customWidth="1"/>
  </cols>
  <sheetData>
    <row r="1" spans="2:11" ht="21.75" customHeight="1">
      <c r="B1" s="14" t="s">
        <v>21</v>
      </c>
      <c r="C1" s="4"/>
      <c r="D1" s="65" t="s">
        <v>40</v>
      </c>
      <c r="E1" s="2"/>
      <c r="G1" s="50" t="s">
        <v>22</v>
      </c>
      <c r="H1" s="51"/>
      <c r="I1" s="51"/>
      <c r="J1" s="51"/>
      <c r="K1" s="52"/>
    </row>
    <row r="2" spans="2:11" ht="21.75" customHeight="1">
      <c r="B2" s="15" t="s">
        <v>30</v>
      </c>
      <c r="C2" s="11"/>
      <c r="D2" s="65"/>
      <c r="E2" s="2"/>
      <c r="G2" s="53"/>
      <c r="H2" s="54"/>
      <c r="I2" s="54"/>
      <c r="J2" s="54"/>
      <c r="K2" s="55"/>
    </row>
    <row r="3" spans="2:11" ht="21.75" customHeight="1">
      <c r="B3" s="5"/>
      <c r="C3" s="13"/>
      <c r="E3" s="2"/>
      <c r="G3" s="56"/>
      <c r="H3" s="57"/>
      <c r="I3" s="57"/>
      <c r="J3" s="57"/>
      <c r="K3" s="58"/>
    </row>
    <row r="4" spans="2:11" ht="22" customHeight="1" thickBot="1">
      <c r="B4" s="49" t="s">
        <v>26</v>
      </c>
      <c r="C4" s="49"/>
      <c r="D4" s="49"/>
      <c r="E4" s="49"/>
      <c r="G4" s="59"/>
      <c r="H4" s="60"/>
      <c r="I4" s="60"/>
      <c r="J4" s="60"/>
      <c r="K4" s="61"/>
    </row>
    <row r="5" spans="2:11" ht="22" customHeight="1">
      <c r="B5" s="25" t="s">
        <v>12</v>
      </c>
      <c r="C5" s="26" t="s">
        <v>13</v>
      </c>
      <c r="D5" s="27" t="s">
        <v>14</v>
      </c>
      <c r="E5" s="28" t="s">
        <v>16</v>
      </c>
      <c r="G5" s="59"/>
      <c r="H5" s="60"/>
      <c r="I5" s="60"/>
      <c r="J5" s="60"/>
      <c r="K5" s="61"/>
    </row>
    <row r="6" spans="2:11" ht="22.5" customHeight="1">
      <c r="B6" s="29" t="s">
        <v>0</v>
      </c>
      <c r="C6" s="6">
        <v>16</v>
      </c>
      <c r="D6" s="1" t="s">
        <v>1</v>
      </c>
      <c r="E6" s="30" t="s">
        <v>43</v>
      </c>
      <c r="G6" s="59"/>
      <c r="H6" s="60"/>
      <c r="I6" s="60"/>
      <c r="J6" s="60"/>
      <c r="K6" s="61"/>
    </row>
    <row r="7" spans="2:11" ht="22" customHeight="1">
      <c r="B7" s="31" t="s">
        <v>2</v>
      </c>
      <c r="C7" s="7">
        <v>5</v>
      </c>
      <c r="D7" s="1" t="s">
        <v>1</v>
      </c>
      <c r="E7" s="30" t="s">
        <v>44</v>
      </c>
      <c r="G7" s="59"/>
      <c r="H7" s="60"/>
      <c r="I7" s="60"/>
      <c r="J7" s="60"/>
      <c r="K7" s="61"/>
    </row>
    <row r="8" spans="2:11" ht="21">
      <c r="B8" s="31" t="s">
        <v>3</v>
      </c>
      <c r="C8" s="7">
        <v>0.6</v>
      </c>
      <c r="D8" s="1" t="s">
        <v>4</v>
      </c>
      <c r="E8" s="30" t="s">
        <v>35</v>
      </c>
      <c r="G8" s="59"/>
      <c r="H8" s="60"/>
      <c r="I8" s="60"/>
      <c r="J8" s="60"/>
      <c r="K8" s="61"/>
    </row>
    <row r="9" spans="2:11" ht="24">
      <c r="B9" s="31" t="s">
        <v>23</v>
      </c>
      <c r="C9" s="16">
        <v>0.4</v>
      </c>
      <c r="D9" s="24"/>
      <c r="E9" s="30" t="s">
        <v>34</v>
      </c>
      <c r="G9" s="59"/>
      <c r="H9" s="60"/>
      <c r="I9" s="60"/>
      <c r="J9" s="60"/>
      <c r="K9" s="61"/>
    </row>
    <row r="10" spans="2:11" ht="24">
      <c r="B10" s="33" t="s">
        <v>17</v>
      </c>
      <c r="C10" s="8">
        <v>770</v>
      </c>
      <c r="D10" s="1" t="s">
        <v>15</v>
      </c>
      <c r="E10" s="32" t="s">
        <v>19</v>
      </c>
      <c r="G10" s="59"/>
      <c r="H10" s="60"/>
      <c r="I10" s="60"/>
      <c r="J10" s="60"/>
      <c r="K10" s="61"/>
    </row>
    <row r="11" spans="2:11" ht="21.5" customHeight="1">
      <c r="B11" s="34" t="s">
        <v>18</v>
      </c>
      <c r="C11" s="9">
        <f>(C6-C7)*C7/(C12*C6*C10*1000)*1000000</f>
        <v>18.601190476190478</v>
      </c>
      <c r="D11" s="1" t="s">
        <v>6</v>
      </c>
      <c r="E11" s="32" t="s">
        <v>20</v>
      </c>
      <c r="G11" s="59"/>
      <c r="H11" s="60"/>
      <c r="I11" s="60"/>
      <c r="J11" s="60"/>
      <c r="K11" s="61"/>
    </row>
    <row r="12" spans="2:11" ht="22" customHeight="1">
      <c r="B12" s="29" t="s">
        <v>5</v>
      </c>
      <c r="C12" s="10">
        <f>C8*C9</f>
        <v>0.24</v>
      </c>
      <c r="D12" s="1" t="s">
        <v>4</v>
      </c>
      <c r="E12" s="30" t="s">
        <v>24</v>
      </c>
      <c r="G12" s="59"/>
      <c r="H12" s="60"/>
      <c r="I12" s="60"/>
      <c r="J12" s="60"/>
      <c r="K12" s="61"/>
    </row>
    <row r="13" spans="2:11" ht="22.5" customHeight="1" thickBot="1">
      <c r="B13" s="35" t="s">
        <v>7</v>
      </c>
      <c r="C13" s="36">
        <f>C8+C12/2</f>
        <v>0.72</v>
      </c>
      <c r="D13" s="37" t="s">
        <v>4</v>
      </c>
      <c r="E13" s="38" t="s">
        <v>25</v>
      </c>
      <c r="G13" s="59"/>
      <c r="H13" s="60"/>
      <c r="I13" s="60"/>
      <c r="J13" s="60"/>
      <c r="K13" s="61"/>
    </row>
    <row r="14" spans="2:11" ht="21">
      <c r="B14" s="20"/>
      <c r="C14" s="21"/>
      <c r="D14" s="22"/>
      <c r="E14" s="23"/>
      <c r="G14" s="59"/>
      <c r="H14" s="60"/>
      <c r="I14" s="60"/>
      <c r="J14" s="60"/>
      <c r="K14" s="61"/>
    </row>
    <row r="15" spans="2:11" ht="20.25" customHeight="1" thickBot="1">
      <c r="B15" s="48" t="s">
        <v>33</v>
      </c>
      <c r="C15" s="48"/>
      <c r="D15" s="48"/>
      <c r="E15" s="48"/>
      <c r="G15" s="59"/>
      <c r="H15" s="60"/>
      <c r="I15" s="60"/>
      <c r="J15" s="60"/>
      <c r="K15" s="61"/>
    </row>
    <row r="16" spans="2:11" ht="20.25" customHeight="1">
      <c r="B16" s="25" t="s">
        <v>12</v>
      </c>
      <c r="C16" s="26" t="s">
        <v>13</v>
      </c>
      <c r="D16" s="27" t="s">
        <v>14</v>
      </c>
      <c r="E16" s="39" t="s">
        <v>28</v>
      </c>
      <c r="G16" s="59"/>
      <c r="H16" s="60"/>
      <c r="I16" s="60"/>
      <c r="J16" s="60"/>
      <c r="K16" s="61"/>
    </row>
    <row r="17" spans="2:11" ht="21">
      <c r="B17" s="40" t="s">
        <v>27</v>
      </c>
      <c r="C17" s="19">
        <v>22</v>
      </c>
      <c r="D17" s="3" t="s">
        <v>8</v>
      </c>
      <c r="E17" s="32" t="s">
        <v>31</v>
      </c>
      <c r="G17" s="59"/>
      <c r="H17" s="60"/>
      <c r="I17" s="60"/>
      <c r="J17" s="60"/>
      <c r="K17" s="61"/>
    </row>
    <row r="18" spans="2:11" ht="21.5" customHeight="1">
      <c r="B18" s="41" t="s">
        <v>11</v>
      </c>
      <c r="C18" s="18">
        <f>(C6-C7)*C7/(C17/1000000*C6*C10*1000)</f>
        <v>0.20292207792207792</v>
      </c>
      <c r="D18" s="17" t="s">
        <v>29</v>
      </c>
      <c r="E18" s="30"/>
      <c r="G18" s="59"/>
      <c r="H18" s="60"/>
      <c r="I18" s="60"/>
      <c r="J18" s="60"/>
      <c r="K18" s="61"/>
    </row>
    <row r="19" spans="2:11" ht="21.5" customHeight="1">
      <c r="B19" s="42" t="s">
        <v>37</v>
      </c>
      <c r="C19" s="12">
        <f>SQRT(C8^2+C18^2/12)/0.7</f>
        <v>0.86121822529660252</v>
      </c>
      <c r="D19" s="3" t="s">
        <v>9</v>
      </c>
      <c r="E19" s="43" t="s">
        <v>41</v>
      </c>
      <c r="G19" s="59"/>
      <c r="H19" s="60"/>
      <c r="I19" s="60"/>
      <c r="J19" s="60"/>
      <c r="K19" s="61"/>
    </row>
    <row r="20" spans="2:11" ht="21" customHeight="1">
      <c r="B20" s="44" t="s">
        <v>38</v>
      </c>
      <c r="C20" s="12">
        <f>(C8+C12/2)/0.7</f>
        <v>1.0285714285714287</v>
      </c>
      <c r="D20" s="3" t="s">
        <v>9</v>
      </c>
      <c r="E20" s="43" t="s">
        <v>42</v>
      </c>
      <c r="G20" s="59"/>
      <c r="H20" s="60"/>
      <c r="I20" s="60"/>
      <c r="J20" s="60"/>
      <c r="K20" s="61"/>
    </row>
    <row r="21" spans="2:11" ht="22.25" customHeight="1" thickBot="1">
      <c r="B21" s="45" t="s">
        <v>39</v>
      </c>
      <c r="C21" s="46"/>
      <c r="D21" s="47" t="s">
        <v>10</v>
      </c>
      <c r="E21" s="38" t="s">
        <v>32</v>
      </c>
      <c r="G21" s="62"/>
      <c r="H21" s="63"/>
      <c r="I21" s="63"/>
      <c r="J21" s="63"/>
      <c r="K21" s="64"/>
    </row>
    <row r="22" spans="2:11" ht="41" customHeight="1">
      <c r="B22" s="48" t="s">
        <v>36</v>
      </c>
      <c r="C22" s="48"/>
      <c r="D22" s="48"/>
      <c r="E22" s="48"/>
    </row>
  </sheetData>
  <mergeCells count="6">
    <mergeCell ref="B22:E22"/>
    <mergeCell ref="B4:E4"/>
    <mergeCell ref="B15:E15"/>
    <mergeCell ref="G1:K2"/>
    <mergeCell ref="G3:K21"/>
    <mergeCell ref="D1:D2"/>
  </mergeCells>
  <phoneticPr fontId="3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1294852413@qq.com</cp:lastModifiedBy>
  <dcterms:created xsi:type="dcterms:W3CDTF">2024-09-29T08:40:02Z</dcterms:created>
  <dcterms:modified xsi:type="dcterms:W3CDTF">2026-07-22T07:14:04Z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2024-09-29T08:40:02Z</vt:filetime>
  </property>
  <property fmtid="{D5CDD505-2E9C-101B-9397-08002B2CF9AE}" pid="4" name="UsrData">
    <vt:lpwstr>66f8a1e0b39278001f0743c0wl</vt:lpwstr>
  </property>
</Properties>
</file>